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 JM\descargas\Entregable2\"/>
    </mc:Choice>
  </mc:AlternateContent>
  <xr:revisionPtr revIDLastSave="0" documentId="13_ncr:1_{5C1F609E-9C97-4468-B8AD-D9B8195391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úbrica MI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4" i="1" s="1"/>
  <c r="H9" i="1"/>
  <c r="H14" i="1" s="1"/>
</calcChain>
</file>

<file path=xl/sharedStrings.xml><?xml version="1.0" encoding="utf-8"?>
<sst xmlns="http://schemas.openxmlformats.org/spreadsheetml/2006/main" count="73" uniqueCount="62">
  <si>
    <t>Dimensión</t>
  </si>
  <si>
    <t>Criterio</t>
  </si>
  <si>
    <t>1 – Deficiente</t>
  </si>
  <si>
    <t>2 – Regular</t>
  </si>
  <si>
    <t>3 – Aceptable</t>
  </si>
  <si>
    <t>4 – Bueno</t>
  </si>
  <si>
    <t>5 – Excelente</t>
  </si>
  <si>
    <t>Calidad del contenido</t>
  </si>
  <si>
    <t>Información incompleta, desactualizada o con errores.</t>
  </si>
  <si>
    <t>Información poco clara y limitada.</t>
  </si>
  <si>
    <t>Información aceptable, aunque con vacíos.</t>
  </si>
  <si>
    <t>Información clara, pertinente y en gran parte actualizada.</t>
  </si>
  <si>
    <t>Información completa, actualizada, precisa y altamente pertinente.</t>
  </si>
  <si>
    <t>Diseño instruccional y pedagógico</t>
  </si>
  <si>
    <t>Sin coherencia ni alineación con objetivos.</t>
  </si>
  <si>
    <t>Presenta incoherencias y poca claridad.</t>
  </si>
  <si>
    <t>Aceptable, con estructura básica.</t>
  </si>
  <si>
    <t>Secuencia clara y actividades alineadas.</t>
  </si>
  <si>
    <t>Diseño bien estructurado, alineado, con actividades variadas y pertinentes.</t>
  </si>
  <si>
    <t>Usabilidad y accesibilidad</t>
  </si>
  <si>
    <t>Difícil de usar, con barreras de acceso.</t>
  </si>
  <si>
    <t>Poco intuitivo, accesibilidad limitada.</t>
  </si>
  <si>
    <t>Navegación aceptable pero con dificultades.</t>
  </si>
  <si>
    <t>Fácil de usar, accesible en la mayoría de dispositivos.</t>
  </si>
  <si>
    <t>Muy fácil de usar, totalmente accesible e inclusivo.</t>
  </si>
  <si>
    <t>Interactividad y motivación</t>
  </si>
  <si>
    <t>No genera interés ni participación.</t>
  </si>
  <si>
    <t>Poco atractivo y con baja interacción.</t>
  </si>
  <si>
    <t>Tiene algunos elementos de motivación.</t>
  </si>
  <si>
    <t>Atractivo, con recursos que promueven la participación.</t>
  </si>
  <si>
    <t>Altamente interactivo, atractivo y motivador.</t>
  </si>
  <si>
    <t>Reusabilidad y escalabilidad</t>
  </si>
  <si>
    <t>No es reutilizable ni adaptable.</t>
  </si>
  <si>
    <t>Reutilización muy limitada.</t>
  </si>
  <si>
    <t>Puede usarse en un contexto específico.</t>
  </si>
  <si>
    <t>Reutilizable en varios contextos.</t>
  </si>
  <si>
    <t>Altamente reutilizable y escalable a múltiples programas y contextos.</t>
  </si>
  <si>
    <t>Impacto en el aprendizaje</t>
  </si>
  <si>
    <t>No aporta al aprendizaje.</t>
  </si>
  <si>
    <t>Aporta muy poco, sin impacto real.</t>
  </si>
  <si>
    <t>Aporta de manera básica al aprendizaje.</t>
  </si>
  <si>
    <t>Contribuye positivamente al aprendizaje.</t>
  </si>
  <si>
    <t>Impacto fuerte, genera aprendizaje significativo y transferible.</t>
  </si>
  <si>
    <t>Promedio final:</t>
  </si>
  <si>
    <t>RED 1 Calificación (1-5)</t>
  </si>
  <si>
    <t>RED 2 Calificación (1-5)</t>
  </si>
  <si>
    <t>Fidelidad, congruencia y actualización del contenido.</t>
  </si>
  <si>
    <t>Desenvoltura de navegación, entendimiento y acceso para todos los usuarios.</t>
  </si>
  <si>
    <t>Aptitud para motivar e impulsar la participación del aprendiz.</t>
  </si>
  <si>
    <t>Probabilidad de aprovechamiento en diferentes contextos y programas.</t>
  </si>
  <si>
    <t>Aportación al logro de competencias y al aprendizaje significativo.</t>
  </si>
  <si>
    <t>Estructura, ordén lógico y alineamiento con objetivos de aprendizaje.</t>
  </si>
  <si>
    <t>Interpretación del promedio final:</t>
  </si>
  <si>
    <t>1.0 – 1.9 → Deficiente</t>
  </si>
  <si>
    <t>2.0 – 2.9 → Regular</t>
  </si>
  <si>
    <t>3.0 – 3.9 → Aceptable</t>
  </si>
  <si>
    <t>4.0 – 4.4 → Bueno</t>
  </si>
  <si>
    <t>4.5 – 5.0 → Excelente</t>
  </si>
  <si>
    <t>Interpretación RED1</t>
  </si>
  <si>
    <t>Interpretación RED2</t>
  </si>
  <si>
    <t xml:space="preserve">Tabla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</si>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</sst>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Evaluación RED (Barras)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'Rúbrica MIERED'!$H$1</c:f>
              <c:strCache>
                <c:ptCount val="1"/>
                <c:pt idx="0">
                  <c:v>RED 1 Calificación (1-5)</c:v>
                </c:pt>
              </c:strCache>
            </c:strRef>
          </c:tx>
          <c:spPr>
            <a:ln>
              <a:prstDash val="solid"/>
            </a:ln>
          </c:spPr>
          <c:invertIfNegative val="0"/>
          <c:val>
            <c:numRef>
              <c:f>'Rúbrica MIERED'!$H$2:$H$7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8-4E9D-9E48-1E834644BCB8}"/>
            </c:ext>
          </c:extLst>
        </c:ser>
        <c:ser>
          <c:idx val="1"/>
          <c:order val="1"/>
          <c:tx>
            <c:strRef>
              <c:f>'Rúbrica MIERED'!$I$1</c:f>
              <c:strCache>
                <c:ptCount val="1"/>
                <c:pt idx="0">
                  <c:v>RED 2 Calificación (1-5)</c:v>
                </c:pt>
              </c:strCache>
            </c:strRef>
          </c:tx>
          <c:invertIfNegative val="0"/>
          <c:val>
            <c:numRef>
              <c:f>'Rúbrica MIERED'!$I$2:$I$7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D-476F-8937-3F88C26A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Dimensiones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Calificación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Evaluación RED (Radar)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'Rúbrica MIERED'!$H$1</c:f>
              <c:strCache>
                <c:ptCount val="1"/>
                <c:pt idx="0">
                  <c:v>RED 1 Calificación (1-5)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'Rúbrica MIERED'!$H$2:$H$7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6-47C8-BA79-CC4331DF148D}"/>
            </c:ext>
          </c:extLst>
        </c:ser>
        <c:ser>
          <c:idx val="1"/>
          <c:order val="1"/>
          <c:tx>
            <c:strRef>
              <c:f>'Rúbrica MIERED'!$I$1</c:f>
              <c:strCache>
                <c:ptCount val="1"/>
                <c:pt idx="0">
                  <c:v>RED 2 Calificación (1-5)</c:v>
                </c:pt>
              </c:strCache>
            </c:strRef>
          </c:tx>
          <c:marker>
            <c:symbol val="none"/>
          </c:marker>
          <c:val>
            <c:numRef>
              <c:f>'Rúbrica MIERED'!$I$2:$I$7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8-4751-8266-0134233B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276225</xdr:colOff>
      <xdr:row>0</xdr:row>
      <xdr:rowOff>66675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333375</xdr:colOff>
      <xdr:row>20</xdr:row>
      <xdr:rowOff>171450</xdr:rowOff>
    </xdr:from>
    <xdr:ext cx="720852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G1" workbookViewId="0">
      <selection activeCell="H9" sqref="H9"/>
    </sheetView>
  </sheetViews>
  <sheetFormatPr baseColWidth="10" defaultColWidth="8.88671875" defaultRowHeight="14.4" x14ac:dyDescent="0.3"/>
  <cols>
    <col min="1" max="1" width="35" customWidth="1"/>
    <col min="2" max="2" width="89.77734375" customWidth="1"/>
    <col min="3" max="3" width="55" customWidth="1"/>
    <col min="4" max="4" width="41" customWidth="1"/>
    <col min="5" max="5" width="45" customWidth="1"/>
    <col min="6" max="6" width="60" customWidth="1"/>
    <col min="7" max="7" width="77" customWidth="1"/>
    <col min="8" max="8" width="20" customWidth="1"/>
    <col min="9" max="9" width="20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</row>
    <row r="2" spans="1:9" x14ac:dyDescent="0.3">
      <c r="A2" s="2" t="s">
        <v>7</v>
      </c>
      <c r="B2" s="2" t="s">
        <v>46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4" t="s">
        <v>61</v>
      </c>
      <c r="I2" s="5" t="s">
        <v>61</v>
      </c>
    </row>
    <row r="3" spans="1:9" x14ac:dyDescent="0.3">
      <c r="A3" s="2" t="s">
        <v>13</v>
      </c>
      <c r="B3" s="2" t="s">
        <v>51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4" t="s">
        <v>61</v>
      </c>
      <c r="I3" s="5" t="s">
        <v>61</v>
      </c>
    </row>
    <row r="4" spans="1:9" x14ac:dyDescent="0.3">
      <c r="A4" s="2" t="s">
        <v>19</v>
      </c>
      <c r="B4" s="2" t="s">
        <v>47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4" t="s">
        <v>61</v>
      </c>
      <c r="I4" s="5" t="s">
        <v>61</v>
      </c>
    </row>
    <row r="5" spans="1:9" x14ac:dyDescent="0.3">
      <c r="A5" s="2" t="s">
        <v>25</v>
      </c>
      <c r="B5" s="2" t="s">
        <v>48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4" t="s">
        <v>61</v>
      </c>
      <c r="I5" s="5" t="s">
        <v>61</v>
      </c>
    </row>
    <row r="6" spans="1:9" x14ac:dyDescent="0.3">
      <c r="A6" s="2" t="s">
        <v>31</v>
      </c>
      <c r="B6" s="2" t="s">
        <v>49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4" t="s">
        <v>61</v>
      </c>
      <c r="I6" s="5" t="s">
        <v>61</v>
      </c>
    </row>
    <row r="7" spans="1:9" x14ac:dyDescent="0.3">
      <c r="A7" s="2" t="s">
        <v>37</v>
      </c>
      <c r="B7" s="2" t="s">
        <v>50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4" t="s">
        <v>61</v>
      </c>
      <c r="I7" s="5" t="s">
        <v>61</v>
      </c>
    </row>
    <row r="9" spans="1:9" x14ac:dyDescent="0.3">
      <c r="G9" s="2" t="s">
        <v>43</v>
      </c>
      <c r="H9" s="3" t="e">
        <f>AVERAGE(H2:H8)</f>
        <v>#DIV/0!</v>
      </c>
      <c r="I9" s="3" t="e">
        <f>AVERAGE(I2:I8)</f>
        <v>#DIV/0!</v>
      </c>
    </row>
    <row r="13" spans="1:9" ht="23.4" x14ac:dyDescent="0.45">
      <c r="G13" s="11" t="s">
        <v>60</v>
      </c>
      <c r="H13" s="8" t="s">
        <v>58</v>
      </c>
      <c r="I13" s="8" t="s">
        <v>59</v>
      </c>
    </row>
    <row r="14" spans="1:9" x14ac:dyDescent="0.3">
      <c r="G14" s="7" t="s">
        <v>52</v>
      </c>
      <c r="H14" s="9" t="e">
        <f>IF(AND(H9&gt;=1,H9&lt;=1.9),"Deficiente",
 IF(AND(H9&gt;=2,H9&lt;=2.9),"Regular",
 IF(AND(H9&gt;=3,H9&lt;=3.9),"Aceptable",
 IF(AND(H9&gt;=4,H9&lt;=4.4),"Bueno",
 IF(AND(H9&gt;=4.5,H9&lt;=5),"Excelente",
 "Rango fuera de contexto")))))</f>
        <v>#DIV/0!</v>
      </c>
      <c r="I14" s="10" t="e">
        <f>IF(AND(I9&gt;=1,I9&lt;=1.9),"Deficiente",
 IF(AND(I9&gt;=2,I9&lt;=2.9),"Regular",
 IF(AND(I9&gt;=3,I9&lt;=3.9),"Aceptable",
 IF(AND(I9&gt;=4,I9&lt;=4.4),"Bueno",
 IF(AND(I9&gt;=4.5,I9&lt;=5),"Excelente",
 "Rango fuera de contexto")))))</f>
        <v>#DIV/0!</v>
      </c>
    </row>
    <row r="15" spans="1:9" x14ac:dyDescent="0.3">
      <c r="G15" s="6" t="s">
        <v>53</v>
      </c>
    </row>
    <row r="16" spans="1:9" x14ac:dyDescent="0.3">
      <c r="G16" s="6" t="s">
        <v>54</v>
      </c>
    </row>
    <row r="17" spans="7:7" x14ac:dyDescent="0.3">
      <c r="G17" s="6" t="s">
        <v>55</v>
      </c>
    </row>
    <row r="18" spans="7:7" x14ac:dyDescent="0.3">
      <c r="G18" s="6" t="s">
        <v>56</v>
      </c>
    </row>
    <row r="19" spans="7:7" x14ac:dyDescent="0.3">
      <c r="G19" s="6" t="s">
        <v>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MIERED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Antonio Munoz Arango</cp:lastModifiedBy>
  <dcterms:created xsi:type="dcterms:W3CDTF">2025-09-22T01:02:46Z</dcterms:created>
  <dcterms:modified xsi:type="dcterms:W3CDTF">2025-09-27T16:14:16Z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2025-09-22T19:57:53Z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49699f49-8409-4727-82f5-685110c6f48c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